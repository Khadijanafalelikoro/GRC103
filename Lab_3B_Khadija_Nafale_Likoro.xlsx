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" sheetId="2" state="visible" r:id="rId4"/>
    <sheet name="ALE" sheetId="3" state="visible" r:id="rId5"/>
    <sheet name="Controls" sheetId="4" state="visible" r:id="rId6"/>
    <sheet name="Budget" sheetId="5" state="visible" r:id="rId7"/>
    <sheet name="Heat Map" sheetId="6" state="visible" r:id="rId8"/>
    <sheet name="Timeline" sheetId="7" state="visible" r:id="rId9"/>
    <sheet name="Char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<sst xmlns="http://schemas.openxmlformats.org/spreadsheetml/2006/main" count="164" uniqueCount="129">
  <si>
    <t xml:space="preserve">Task 6: Executive Dashboard</t>
  </si>
  <si>
    <t xml:space="preserve">Khadija Nafale Likoro | C11-CGRCE-17281 (GRC102)</t>
  </si>
  <si>
    <t xml:space="preserve">Top Risks</t>
  </si>
  <si>
    <t xml:space="preserve">Annual Financial Impact</t>
  </si>
  <si>
    <t xml:space="preserve">Database Injection</t>
  </si>
  <si>
    <t xml:space="preserve">Session Hijacking</t>
  </si>
  <si>
    <t xml:space="preserve">API Bypass</t>
  </si>
  <si>
    <t xml:space="preserve">Recommended Controls</t>
  </si>
  <si>
    <t xml:space="preserve">Upfront Cost</t>
  </si>
  <si>
    <t xml:space="preserve">Maintenance per Year</t>
  </si>
  <si>
    <t xml:space="preserve">WAF</t>
  </si>
  <si>
    <t xml:space="preserve">MFA Enhancement</t>
  </si>
  <si>
    <t xml:space="preserve">API Security Gateway</t>
  </si>
  <si>
    <t xml:space="preserve">Total</t>
  </si>
  <si>
    <t xml:space="preserve">Key Result</t>
  </si>
  <si>
    <t xml:space="preserve">Value</t>
  </si>
  <si>
    <t xml:space="preserve">ALE before controls</t>
  </si>
  <si>
    <t xml:space="preserve">ALE after controls</t>
  </si>
  <si>
    <t xml:space="preserve">Risk reduction per year</t>
  </si>
  <si>
    <t xml:space="preserve">Risk reduction percent</t>
  </si>
  <si>
    <t xml:space="preserve">Year 1 cost of all controls</t>
  </si>
  <si>
    <t xml:space="preserve">Overall Year 1 ROI</t>
  </si>
  <si>
    <t xml:space="preserve">Inputs: SecureMobile Assessment Data</t>
  </si>
  <si>
    <t xml:space="preserve">Item</t>
  </si>
  <si>
    <t xml:space="preserve">Note</t>
  </si>
  <si>
    <t xml:space="preserve">API bypass exploit probability</t>
  </si>
  <si>
    <t xml:space="preserve">Given in the lab dataset</t>
  </si>
  <si>
    <t xml:space="preserve">API bypass maximum single incident loss</t>
  </si>
  <si>
    <t xml:space="preserve">Database injection exploit probability</t>
  </si>
  <si>
    <t xml:space="preserve">Records at risk</t>
  </si>
  <si>
    <t xml:space="preserve">Cost per record</t>
  </si>
  <si>
    <t xml:space="preserve">Session hijacking exploit probability</t>
  </si>
  <si>
    <t xml:space="preserve">Accounts at risk</t>
  </si>
  <si>
    <t xml:space="preserve">Average loss per account</t>
  </si>
  <si>
    <t xml:space="preserve">Control</t>
  </si>
  <si>
    <t xml:space="preserve">Initial cost</t>
  </si>
  <si>
    <t xml:space="preserve">Effectiveness</t>
  </si>
  <si>
    <t xml:space="preserve">Maintenance per year</t>
  </si>
  <si>
    <t xml:space="preserve">Advanced API Security Gateway</t>
  </si>
  <si>
    <t xml:space="preserve">Web Application Firewall (WAF)</t>
  </si>
  <si>
    <t xml:space="preserve">Multi-Factor Authentication Enhancement</t>
  </si>
  <si>
    <t xml:space="preserve">Blue cells are inputs from the lab. Change them and every sheet updates.</t>
  </si>
  <si>
    <t xml:space="preserve">Task 1 and 2: ALE and Risk Priority Matrix</t>
  </si>
  <si>
    <t xml:space="preserve">Vulnerability</t>
  </si>
  <si>
    <t xml:space="preserve">SLE</t>
  </si>
  <si>
    <t xml:space="preserve">ARO</t>
  </si>
  <si>
    <t xml:space="preserve">ALE</t>
  </si>
  <si>
    <t xml:space="preserve">Share of Total</t>
  </si>
  <si>
    <t xml:space="preserve">Priority</t>
  </si>
  <si>
    <t xml:space="preserve">API Authentication Bypass</t>
  </si>
  <si>
    <t xml:space="preserve">Formula: ALE = SLE x ARO. Priority is CRITICAL above 50% of total ALE and HIGH above 5% and MEDIUM otherwise.</t>
  </si>
  <si>
    <t xml:space="preserve">Task 4 and 5: Control Cost-Benefit Analysis</t>
  </si>
  <si>
    <t xml:space="preserve">Protects Against</t>
  </si>
  <si>
    <t xml:space="preserve">Initial Investment</t>
  </si>
  <si>
    <t xml:space="preserve">Annual Maintenance</t>
  </si>
  <si>
    <t xml:space="preserve">ALE Covered</t>
  </si>
  <si>
    <t xml:space="preserve">Risk Reduction per Year</t>
  </si>
  <si>
    <t xml:space="preserve">Year 1 Cost</t>
  </si>
  <si>
    <t xml:space="preserve">ROI Year 1</t>
  </si>
  <si>
    <t xml:space="preserve">Payback Years</t>
  </si>
  <si>
    <t xml:space="preserve">Payback Days</t>
  </si>
  <si>
    <t xml:space="preserve">API Gateway</t>
  </si>
  <si>
    <t xml:space="preserve">All three</t>
  </si>
  <si>
    <t xml:space="preserve">ROI = (Risk reduction - Year 1 cost) / Year 1 cost. Payback = Initial / (Risk reduction - Maintenance).</t>
  </si>
  <si>
    <t xml:space="preserve">Time</t>
  </si>
  <si>
    <t xml:space="preserve">Cumulative Net Benefit</t>
  </si>
  <si>
    <t xml:space="preserve">Start</t>
  </si>
  <si>
    <t xml:space="preserve">Year 1</t>
  </si>
  <si>
    <t xml:space="preserve">Year 2</t>
  </si>
  <si>
    <t xml:space="preserve">Year 3</t>
  </si>
  <si>
    <t xml:space="preserve">Risk</t>
  </si>
  <si>
    <t xml:space="preserve">Before Controls</t>
  </si>
  <si>
    <t xml:space="preserve">After Controls</t>
  </si>
  <si>
    <t xml:space="preserve">Bonus: Control Selection by Budget</t>
  </si>
  <si>
    <t xml:space="preserve">Upfront Budget</t>
  </si>
  <si>
    <t xml:space="preserve">Best Choice</t>
  </si>
  <si>
    <t xml:space="preserve">Upfront Cost Used</t>
  </si>
  <si>
    <t xml:space="preserve">Up to $150000</t>
  </si>
  <si>
    <t xml:space="preserve">WAF only</t>
  </si>
  <si>
    <t xml:space="preserve">Up to $350000</t>
  </si>
  <si>
    <t xml:space="preserve">WAF and MFA</t>
  </si>
  <si>
    <t xml:space="preserve">$700000 or more</t>
  </si>
  <si>
    <t xml:space="preserve">All three controls</t>
  </si>
  <si>
    <t xml:space="preserve">Residual Risk Summary</t>
  </si>
  <si>
    <t xml:space="preserve">Current ALE</t>
  </si>
  <si>
    <t xml:space="preserve">Residual ALE after all controls</t>
  </si>
  <si>
    <t xml:space="preserve">The WAF gives the best return because database injection is the largest risk.</t>
  </si>
  <si>
    <t xml:space="preserve">Task 3: Risk Heat Map</t>
  </si>
  <si>
    <t xml:space="preserve">Low impact (under $1M)</t>
  </si>
  <si>
    <t xml:space="preserve">Medium impact ($1M to $10M)</t>
  </si>
  <si>
    <t xml:space="preserve">High impact (over $10M)</t>
  </si>
  <si>
    <t xml:space="preserve">High probability (over 30%)</t>
  </si>
  <si>
    <t xml:space="preserve">Session Hijacking (HIGH)</t>
  </si>
  <si>
    <t xml:space="preserve">Medium probability (20% to 30%)</t>
  </si>
  <si>
    <t xml:space="preserve">Database Injection (CRITICAL)</t>
  </si>
  <si>
    <t xml:space="preserve">Low probability (under 20%)</t>
  </si>
  <si>
    <t xml:space="preserve">API Bypass (MEDIUM)</t>
  </si>
  <si>
    <t xml:space="preserve">Legend:</t>
  </si>
  <si>
    <t xml:space="preserve">High</t>
  </si>
  <si>
    <t xml:space="preserve">Medium-High</t>
  </si>
  <si>
    <t xml:space="preserve">Medium</t>
  </si>
  <si>
    <t xml:space="preserve">Low</t>
  </si>
  <si>
    <t xml:space="preserve">Task 7: Risk Treatment Timeline (Gantt)</t>
  </si>
  <si>
    <t xml:space="preserve">Activity</t>
  </si>
  <si>
    <t xml:space="preserve">Phase</t>
  </si>
  <si>
    <t xml:space="preserve">Start Month</t>
  </si>
  <si>
    <t xml:space="preserve">Duration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</si>
  <si>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</si>
  <si>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</si>
  <si>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</si>
  <si>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</si>
  <si>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</si>
  <si>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</si>
  <si>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</si>
  <si>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</si>
  <si>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</si>
  <si>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</si>
  <si>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</si>
  <si>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</si>
  <si>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Emergency patching and monitoring</t>
  </si>
  <si>
    <t xml:space="preserve">First 30 days</t>
  </si>
  <si>
    <t xml:space="preserve">WAF deployment</t>
  </si>
  <si>
    <t xml:space="preserve">MFA rollout</t>
  </si>
  <si>
    <t xml:space="preserve">Within 90 days</t>
  </si>
  <si>
    <t xml:space="preserve">API Gateway procurement and setup</t>
  </si>
  <si>
    <t xml:space="preserve">Within 1 year</t>
  </si>
  <si>
    <t xml:space="preserve">Penetration test retest</t>
  </si>
  <si>
    <t xml:space="preserve">Ongoing monitoring and review</t>
  </si>
  <si>
    <t xml:space="preserve">Required Graphs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</si>
</sst>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0"/>
    <numFmt numFmtId="166" formatCode="0%"/>
    <numFmt numFmtId="167" formatCode="0"/>
    <numFmt numFmtId="168" formatCode="0.0%"/>
    <numFmt numFmtId="169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9E79F"/>
        <bgColor rgb="FFFFCC99"/>
      </patternFill>
    </fill>
    <fill>
      <patternFill patternType="solid">
        <fgColor rgb="FFF5B041"/>
        <bgColor rgb="FFFFCC00"/>
      </patternFill>
    </fill>
    <fill>
      <patternFill patternType="solid">
        <fgColor rgb="FFE74C3C"/>
        <bgColor rgb="FFC0504D"/>
      </patternFill>
    </fill>
    <fill>
      <patternFill patternType="solid">
        <fgColor rgb="FFA9DFBF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74C3C"/>
        </patternFill>
      </fill>
    </dxf>
    <dxf>
      <fill>
        <patternFill>
          <bgColor rgb="FFF5B041"/>
        </patternFill>
      </fill>
    </dxf>
    <dxf>
      <fill>
        <patternFill>
          <bgColor rgb="FFF9E79F"/>
        </patternFill>
      </fill>
    </dxf>
    <dxf>
      <fill>
        <patternFill>
          <bgColor rgb="FF2E559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A9DFBF"/>
      <rgbColor rgb="FF878787"/>
      <rgbColor rgb="FF9999FF"/>
      <rgbColor rgb="FF8E44A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9E79F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5B041"/>
      <rgbColor rgb="FFE74C3C"/>
      <rgbColor rgb="FF4A7EBB"/>
      <rgbColor rgb="FF999999"/>
      <rgbColor rgb="FF1F3864"/>
      <rgbColor rgb="FF27AE60"/>
      <rgbColor rgb="FF003300"/>
      <rgbColor rgb="FF333300"/>
      <rgbColor rgb="FF993300"/>
      <rgbColor rgb="FFC0504D"/>
      <rgbColor rgb="FF2E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ALE by Vulnerability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ALE!D4</c:f>
              <c:strCache>
                <c:ptCount val="1"/>
                <c:pt idx="0">
                  <c:v>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ALE!$A$5:$A$7</c:f>
              <c:strCache>
                <c:ptCount val="3"/>
                <c:pt idx="0">
                  <c:v>API Authentication Bypass</c:v>
                </c:pt>
                <c:pt idx="1">
                  <c:v>Database Injection</c:v>
                </c:pt>
                <c:pt idx="2">
                  <c:v>Session Hijacking</c:v>
                </c:pt>
              </c:strCache>
            </c:strRef>
          </c:cat>
          <c:val>
            <c:numRef>
              <c:f>ALE!$D$5:$D$7</c:f>
              <c:numCache>
                <c:formatCode>\$0</c:formatCode>
                <c:ptCount val="3"/>
                <c:pt idx="0">
                  <c:v>750000</c:v>
                </c:pt>
                <c:pt idx="1">
                  <c:v>31250000</c:v>
                </c:pt>
                <c:pt idx="2">
                  <c:v>3000000</c:v>
                </c:pt>
              </c:numCache>
            </c:numRef>
          </c:val>
        </c:ser>
        <c:gapWidth val="150"/>
        <c:overlap val="0"/>
        <c:axId val="29155186"/>
        <c:axId val="31076088"/>
      </c:barChart>
      <c:catAx>
        <c:axId val="291551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Vulnerability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76088"/>
        <c:crosses val="autoZero"/>
        <c:auto val="1"/>
        <c:lblAlgn val="ctr"/>
        <c:lblOffset val="100"/>
        <c:noMultiLvlLbl val="0"/>
      </c:catAx>
      <c:valAx>
        <c:axId val="310760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ALE in dollars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551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Distribution by 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ALE!D4</c:f>
              <c:strCache>
                <c:ptCount val="1"/>
                <c:pt idx="0">
                  <c:v>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ALE!$A$5:$A$7</c:f>
              <c:strCache>
                <c:ptCount val="3"/>
                <c:pt idx="0">
                  <c:v>API Authentication Bypass</c:v>
                </c:pt>
                <c:pt idx="1">
                  <c:v>Database Injection</c:v>
                </c:pt>
                <c:pt idx="2">
                  <c:v>Session Hijacking</c:v>
                </c:pt>
              </c:strCache>
            </c:strRef>
          </c:cat>
          <c:val>
            <c:numRef>
              <c:f>ALE!$D$5:$D$7</c:f>
              <c:numCache>
                <c:formatCode>\$0</c:formatCode>
                <c:ptCount val="3"/>
                <c:pt idx="0">
                  <c:v>750000</c:v>
                </c:pt>
                <c:pt idx="1">
                  <c:v>31250000</c:v>
                </c:pt>
                <c:pt idx="2">
                  <c:v>3000000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Control Cost vs Effectiveness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"API Gateway"</c:f>
              <c:strCache>
                <c:ptCount val="1"/>
                <c:pt idx="0">
                  <c:v>API Gateway</c:v>
                </c:pt>
              </c:strCache>
            </c:strRef>
          </c:tx>
          <c:spPr>
            <a:solidFill>
              <a:srgbClr val="2980b9"/>
            </a:solidFill>
            <a:ln w="47520">
              <a:noFill/>
            </a:ln>
          </c:spPr>
          <c:marker>
            <c:symbol val="circle"/>
            <c:size val="11"/>
            <c:spPr>
              <a:solidFill>
                <a:srgbClr val="2980b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Controls!$C$5</c:f>
              <c:numCache>
                <c:formatCode>\$0</c:formatCode>
                <c:ptCount val="1"/>
                <c:pt idx="0">
                  <c:v>350000</c:v>
                </c:pt>
              </c:numCache>
            </c:numRef>
          </c:xVal>
          <c:yVal>
            <c:numRef>
              <c:f>Controls!$E$5</c:f>
              <c:numCache>
                <c:formatCode>0%</c:formatCode>
                <c:ptCount val="1"/>
                <c:pt idx="0">
                  <c:v>0.9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"WAF"</c:f>
              <c:strCache>
                <c:ptCount val="1"/>
                <c:pt idx="0">
                  <c:v>WAF</c:v>
                </c:pt>
              </c:strCache>
            </c:strRef>
          </c:tx>
          <c:spPr>
            <a:solidFill>
              <a:srgbClr val="27ae60"/>
            </a:solidFill>
            <a:ln w="47520">
              <a:noFill/>
            </a:ln>
          </c:spPr>
          <c:marker>
            <c:symbol val="circle"/>
            <c:size val="11"/>
            <c:spPr>
              <a:solidFill>
                <a:srgbClr val="27ae6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Controls!$C$6</c:f>
              <c:numCache>
                <c:formatCode>\$0</c:formatCode>
                <c:ptCount val="1"/>
                <c:pt idx="0">
                  <c:v>150000</c:v>
                </c:pt>
              </c:numCache>
            </c:numRef>
          </c:xVal>
          <c:yVal>
            <c:numRef>
              <c:f>Controls!$E$6</c:f>
              <c:numCache>
                <c:formatCode>0%</c:formatCode>
                <c:ptCount val="1"/>
                <c:pt idx="0">
                  <c:v>0.75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"MFA Enhancement"</c:f>
              <c:strCache>
                <c:ptCount val="1"/>
                <c:pt idx="0">
                  <c:v>MFA Enhancement</c:v>
                </c:pt>
              </c:strCache>
            </c:strRef>
          </c:tx>
          <c:spPr>
            <a:solidFill>
              <a:srgbClr val="8e44ad"/>
            </a:solidFill>
            <a:ln w="47520">
              <a:noFill/>
            </a:ln>
          </c:spPr>
          <c:marker>
            <c:symbol val="circle"/>
            <c:size val="11"/>
            <c:spPr>
              <a:solidFill>
                <a:srgbClr val="8e44a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Controls!$C$7</c:f>
              <c:numCache>
                <c:formatCode>\$0</c:formatCode>
                <c:ptCount val="1"/>
                <c:pt idx="0">
                  <c:v>200000</c:v>
                </c:pt>
              </c:numCache>
            </c:numRef>
          </c:xVal>
          <c:yVal>
            <c:numRef>
              <c:f>Controls!$E$7</c:f>
              <c:numCache>
                <c:formatCode>0%</c:formatCode>
                <c:ptCount val="1"/>
                <c:pt idx="0">
                  <c:v>0.95</c:v>
                </c:pt>
              </c:numCache>
            </c:numRef>
          </c:yVal>
          <c:smooth val="1"/>
        </c:ser>
        <c:axId val="97759241"/>
        <c:axId val="69701399"/>
      </c:scatterChart>
      <c:valAx>
        <c:axId val="9775924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Initial cost in dollars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701399"/>
        <c:crosses val="autoZero"/>
        <c:crossBetween val="midCat"/>
      </c:valAx>
      <c:valAx>
        <c:axId val="69701399"/>
        <c:scaling>
          <c:orientation val="minMax"/>
          <c:max val="1"/>
          <c:min val="0.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Effectiveness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5924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ROI Comparison Across Controls (Year 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Controls!I4</c:f>
              <c:strCache>
                <c:ptCount val="1"/>
                <c:pt idx="0">
                  <c:v>ROI Year 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Controls!$A$5:$A$7</c:f>
              <c:strCache>
                <c:ptCount val="3"/>
                <c:pt idx="0">
                  <c:v>API Gateway</c:v>
                </c:pt>
                <c:pt idx="1">
                  <c:v>WAF</c:v>
                </c:pt>
                <c:pt idx="2">
                  <c:v>MFA Enhancement</c:v>
                </c:pt>
              </c:strCache>
            </c:strRef>
          </c:cat>
          <c:val>
            <c:numRef>
              <c:f>Controls!$I$5:$I$7</c:f>
              <c:numCache>
                <c:formatCode>0%</c:formatCode>
                <c:ptCount val="3"/>
                <c:pt idx="0">
                  <c:v>0.6875</c:v>
                </c:pt>
                <c:pt idx="1">
                  <c:v>132.928571428571</c:v>
                </c:pt>
                <c:pt idx="2">
                  <c:v>11.3913043478261</c:v>
                </c:pt>
              </c:numCache>
            </c:numRef>
          </c:val>
        </c:ser>
        <c:gapWidth val="150"/>
        <c:overlap val="0"/>
        <c:axId val="60173577"/>
        <c:axId val="88724"/>
      </c:barChart>
      <c:catAx>
        <c:axId val="6017357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Control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24"/>
        <c:crosses val="autoZero"/>
        <c:auto val="1"/>
        <c:lblAlgn val="ctr"/>
        <c:lblOffset val="100"/>
        <c:noMultiLvlLbl val="0"/>
      </c:catAx>
      <c:valAx>
        <c:axId val="8872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ROI in percent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735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Reduction Over Time (Cumulative Net Benefit)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Controls!B11</c:f>
              <c:strCache>
                <c:ptCount val="1"/>
                <c:pt idx="0">
                  <c:v>Cumulative Net Benefit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Controls!$A$12:$A$15</c:f>
              <c:strCache>
                <c:ptCount val="4"/>
                <c:pt idx="0">
                  <c:v>Start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</c:strCache>
            </c:strRef>
          </c:cat>
          <c:val>
            <c:numRef>
              <c:f>Controls!$B$12:$B$15</c:f>
              <c:numCache>
                <c:formatCode>\$0</c:formatCode>
                <c:ptCount val="4"/>
                <c:pt idx="0">
                  <c:v>-700000</c:v>
                </c:pt>
                <c:pt idx="1">
                  <c:v>26157500</c:v>
                </c:pt>
                <c:pt idx="2">
                  <c:v>53015000</c:v>
                </c:pt>
                <c:pt idx="3">
                  <c:v>79872500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192214"/>
        <c:axId val="7651013"/>
      </c:lineChart>
      <c:catAx>
        <c:axId val="91922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1013"/>
        <c:crosses val="autoZero"/>
        <c:auto val="1"/>
        <c:lblAlgn val="ctr"/>
        <c:lblOffset val="100"/>
        <c:noMultiLvlLbl val="0"/>
      </c:catAx>
      <c:valAx>
        <c:axId val="76510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benefit in dollars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22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Exposure Before and After Controls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Controls!B18</c:f>
              <c:strCache>
                <c:ptCount val="1"/>
                <c:pt idx="0">
                  <c:v>Before Controls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Controls!$A$19:$A$21</c:f>
              <c:strCache>
                <c:ptCount val="3"/>
                <c:pt idx="0">
                  <c:v>API Bypass</c:v>
                </c:pt>
                <c:pt idx="1">
                  <c:v>Database Injection</c:v>
                </c:pt>
                <c:pt idx="2">
                  <c:v>Session Hijacking</c:v>
                </c:pt>
              </c:strCache>
            </c:strRef>
          </c:cat>
          <c:val>
            <c:numRef>
              <c:f>Controls!$B$19:$B$21</c:f>
              <c:numCache>
                <c:formatCode>\$0</c:formatCode>
                <c:ptCount val="3"/>
                <c:pt idx="0">
                  <c:v>750000</c:v>
                </c:pt>
                <c:pt idx="1">
                  <c:v>31250000</c:v>
                </c:pt>
                <c:pt idx="2">
                  <c:v>3000000</c:v>
                </c:pt>
              </c:numCache>
            </c:numRef>
          </c:val>
        </c:ser>
        <c:ser>
          <c:idx val="1"/>
          <c:order val="1"/>
          <c:tx>
            <c:strRef>
              <c:f>Controls!C18</c:f>
              <c:strCache>
                <c:ptCount val="1"/>
                <c:pt idx="0">
                  <c:v>After Controls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Controls!$A$19:$A$21</c:f>
              <c:strCache>
                <c:ptCount val="3"/>
                <c:pt idx="0">
                  <c:v>API Bypass</c:v>
                </c:pt>
                <c:pt idx="1">
                  <c:v>Database Injection</c:v>
                </c:pt>
                <c:pt idx="2">
                  <c:v>Session Hijacking</c:v>
                </c:pt>
              </c:strCache>
            </c:strRef>
          </c:cat>
          <c:val>
            <c:numRef>
              <c:f>Controls!$C$19:$C$21</c:f>
              <c:numCache>
                <c:formatCode>\$0</c:formatCode>
                <c:ptCount val="3"/>
                <c:pt idx="0">
                  <c:v>75000</c:v>
                </c:pt>
                <c:pt idx="1">
                  <c:v>7812500</c:v>
                </c:pt>
                <c:pt idx="2">
                  <c:v>150000</c:v>
                </c:pt>
              </c:numCache>
            </c:numRef>
          </c:val>
        </c:ser>
        <c:gapWidth val="150"/>
        <c:overlap val="0"/>
        <c:axId val="15591758"/>
        <c:axId val="40287283"/>
      </c:barChart>
      <c:catAx>
        <c:axId val="155917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Vulnerability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87283"/>
        <c:crosses val="autoZero"/>
        <c:auto val="1"/>
        <c:lblAlgn val="ctr"/>
        <c:lblOffset val="100"/>
        <c:noMultiLvlLbl val="0"/>
      </c:catAx>
      <c:valAx>
        <c:axId val="40287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ALE in dollars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917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Control Investment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Controls!C4</c:f>
              <c:strCache>
                <c:ptCount val="1"/>
                <c:pt idx="0">
                  <c:v>Initial Investment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Controls!$A$5:$A$7</c:f>
              <c:strCache>
                <c:ptCount val="3"/>
                <c:pt idx="0">
                  <c:v>API Gateway</c:v>
                </c:pt>
                <c:pt idx="1">
                  <c:v>WAF</c:v>
                </c:pt>
                <c:pt idx="2">
                  <c:v>MFA Enhancement</c:v>
                </c:pt>
              </c:strCache>
            </c:strRef>
          </c:cat>
          <c:val>
            <c:numRef>
              <c:f>Controls!$C$5:$C$7</c:f>
              <c:numCache>
                <c:formatCode>\$0</c:formatCode>
                <c:ptCount val="3"/>
                <c:pt idx="0">
                  <c:v>350000</c:v>
                </c:pt>
                <c:pt idx="1">
                  <c:v>150000</c:v>
                </c:pt>
                <c:pt idx="2">
                  <c:v>200000</c:v>
                </c:pt>
              </c:numCache>
            </c:numRef>
          </c:val>
        </c:ser>
        <c:ser>
          <c:idx val="1"/>
          <c:order val="1"/>
          <c:tx>
            <c:strRef>
              <c:f>Controls!D4</c:f>
              <c:strCache>
                <c:ptCount val="1"/>
                <c:pt idx="0">
                  <c:v>Annual Maintenance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Controls!$A$5:$A$7</c:f>
              <c:strCache>
                <c:ptCount val="3"/>
                <c:pt idx="0">
                  <c:v>API Gateway</c:v>
                </c:pt>
                <c:pt idx="1">
                  <c:v>WAF</c:v>
                </c:pt>
                <c:pt idx="2">
                  <c:v>MFA Enhancement</c:v>
                </c:pt>
              </c:strCache>
            </c:strRef>
          </c:cat>
          <c:val>
            <c:numRef>
              <c:f>Controls!$D$5:$D$7</c:f>
              <c:numCache>
                <c:formatCode>\$0</c:formatCode>
                <c:ptCount val="3"/>
                <c:pt idx="0">
                  <c:v>50000</c:v>
                </c:pt>
                <c:pt idx="1">
                  <c:v>25000</c:v>
                </c:pt>
                <c:pt idx="2">
                  <c:v>30000</c:v>
                </c:pt>
              </c:numCache>
            </c:numRef>
          </c:val>
        </c:ser>
        <c:gapWidth val="150"/>
        <c:overlap val="100"/>
        <c:axId val="70409466"/>
        <c:axId val="65294915"/>
      </c:barChart>
      <c:catAx>
        <c:axId val="704094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Control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94915"/>
        <c:crosses val="autoZero"/>
        <c:auto val="1"/>
        <c:lblAlgn val="ctr"/>
        <c:lblOffset val="100"/>
        <c:noMultiLvlLbl val="0"/>
      </c:catAx>
      <c:valAx>
        <c:axId val="65294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in dollars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094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8</xdr:col>
      <xdr:colOff>120960</xdr:colOff>
      <xdr:row>18</xdr:row>
      <xdr:rowOff>172440</xdr:rowOff>
    </xdr:to>
    <xdr:graphicFrame>
      <xdr:nvGraphicFramePr>
        <xdr:cNvPr id="0" name="Chart 1"/>
        <xdr:cNvGraphicFramePr/>
      </xdr:nvGraphicFramePr>
      <xdr:xfrm>
        <a:off x="0" y="571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160920</xdr:rowOff>
    </xdr:from>
    <xdr:to>
      <xdr:col>18</xdr:col>
      <xdr:colOff>120600</xdr:colOff>
      <xdr:row>18</xdr:row>
      <xdr:rowOff>172440</xdr:rowOff>
    </xdr:to>
    <xdr:graphicFrame>
      <xdr:nvGraphicFramePr>
        <xdr:cNvPr id="1" name="Chart 2"/>
        <xdr:cNvGraphicFramePr/>
      </xdr:nvGraphicFramePr>
      <xdr:xfrm>
        <a:off x="7048440" y="571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160920</xdr:rowOff>
    </xdr:from>
    <xdr:to>
      <xdr:col>8</xdr:col>
      <xdr:colOff>120960</xdr:colOff>
      <xdr:row>36</xdr:row>
      <xdr:rowOff>172440</xdr:rowOff>
    </xdr:to>
    <xdr:graphicFrame>
      <xdr:nvGraphicFramePr>
        <xdr:cNvPr id="2" name="Chart 3"/>
        <xdr:cNvGraphicFramePr/>
      </xdr:nvGraphicFramePr>
      <xdr:xfrm>
        <a:off x="0" y="4000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20</xdr:row>
      <xdr:rowOff>160920</xdr:rowOff>
    </xdr:from>
    <xdr:to>
      <xdr:col>18</xdr:col>
      <xdr:colOff>120600</xdr:colOff>
      <xdr:row>36</xdr:row>
      <xdr:rowOff>172440</xdr:rowOff>
    </xdr:to>
    <xdr:graphicFrame>
      <xdr:nvGraphicFramePr>
        <xdr:cNvPr id="3" name="Chart 4"/>
        <xdr:cNvGraphicFramePr/>
      </xdr:nvGraphicFramePr>
      <xdr:xfrm>
        <a:off x="7048440" y="4000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38</xdr:row>
      <xdr:rowOff>160920</xdr:rowOff>
    </xdr:from>
    <xdr:to>
      <xdr:col>8</xdr:col>
      <xdr:colOff>120960</xdr:colOff>
      <xdr:row>54</xdr:row>
      <xdr:rowOff>172440</xdr:rowOff>
    </xdr:to>
    <xdr:graphicFrame>
      <xdr:nvGraphicFramePr>
        <xdr:cNvPr id="4" name="Chart 5"/>
        <xdr:cNvGraphicFramePr/>
      </xdr:nvGraphicFramePr>
      <xdr:xfrm>
        <a:off x="0" y="7429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38</xdr:row>
      <xdr:rowOff>160920</xdr:rowOff>
    </xdr:from>
    <xdr:to>
      <xdr:col>18</xdr:col>
      <xdr:colOff>120600</xdr:colOff>
      <xdr:row>54</xdr:row>
      <xdr:rowOff>172440</xdr:rowOff>
    </xdr:to>
    <xdr:graphicFrame>
      <xdr:nvGraphicFramePr>
        <xdr:cNvPr id="5" name="Chart 6"/>
        <xdr:cNvGraphicFramePr/>
      </xdr:nvGraphicFramePr>
      <xdr:xfrm>
        <a:off x="7048440" y="7429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56</xdr:row>
      <xdr:rowOff>160920</xdr:rowOff>
    </xdr:from>
    <xdr:to>
      <xdr:col>8</xdr:col>
      <xdr:colOff>120960</xdr:colOff>
      <xdr:row>72</xdr:row>
      <xdr:rowOff>172440</xdr:rowOff>
    </xdr:to>
    <xdr:graphicFrame>
      <xdr:nvGraphicFramePr>
        <xdr:cNvPr id="6" name="Chart 7"/>
        <xdr:cNvGraphicFramePr/>
      </xdr:nvGraphicFramePr>
      <xdr:xfrm>
        <a:off x="0" y="1085868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ALE!D6</f>
        <v>31250000</v>
      </c>
    </row>
    <row r="6" customFormat="false" ht="15" hidden="false" customHeight="false" outlineLevel="0" collapsed="false">
      <c r="A6" s="4" t="s">
        <v>5</v>
      </c>
      <c r="B6" s="5" t="n">
        <f aca="false">ALE!D7</f>
        <v>3000000</v>
      </c>
    </row>
    <row r="7" customFormat="false" ht="15" hidden="false" customHeight="false" outlineLevel="0" collapsed="false">
      <c r="A7" s="4" t="s">
        <v>6</v>
      </c>
      <c r="B7" s="5" t="n">
        <f aca="false">ALE!D5</f>
        <v>750000</v>
      </c>
    </row>
    <row r="9" customFormat="false" ht="15" hidden="false" customHeight="false" outlineLevel="0" collapsed="false">
      <c r="A9" s="3" t="s">
        <v>7</v>
      </c>
      <c r="B9" s="3" t="s">
        <v>8</v>
      </c>
      <c r="C9" s="3" t="s">
        <v>9</v>
      </c>
    </row>
    <row r="10" customFormat="false" ht="15" hidden="false" customHeight="false" outlineLevel="0" collapsed="false">
      <c r="A10" s="4" t="s">
        <v>10</v>
      </c>
      <c r="B10" s="5" t="n">
        <f aca="false">Controls!C6</f>
        <v>150000</v>
      </c>
      <c r="C10" s="5" t="n">
        <f aca="false">Controls!D6</f>
        <v>25000</v>
      </c>
    </row>
    <row r="11" customFormat="false" ht="15" hidden="false" customHeight="false" outlineLevel="0" collapsed="false">
      <c r="A11" s="4" t="s">
        <v>11</v>
      </c>
      <c r="B11" s="5" t="n">
        <f aca="false">Controls!C7</f>
        <v>200000</v>
      </c>
      <c r="C11" s="5" t="n">
        <f aca="false">Controls!D7</f>
        <v>30000</v>
      </c>
    </row>
    <row r="12" customFormat="false" ht="15" hidden="false" customHeight="false" outlineLevel="0" collapsed="false">
      <c r="A12" s="4" t="s">
        <v>12</v>
      </c>
      <c r="B12" s="5" t="n">
        <f aca="false">Controls!C5</f>
        <v>350000</v>
      </c>
      <c r="C12" s="5" t="n">
        <f aca="false">Controls!D5</f>
        <v>50000</v>
      </c>
    </row>
    <row r="13" customFormat="false" ht="15" hidden="false" customHeight="false" outlineLevel="0" collapsed="false">
      <c r="A13" s="6" t="s">
        <v>13</v>
      </c>
      <c r="B13" s="7" t="n">
        <f aca="false">SUM(B10:B12)</f>
        <v>700000</v>
      </c>
      <c r="C13" s="7" t="n">
        <f aca="false">SUM(C10:C12)</f>
        <v>105000</v>
      </c>
    </row>
    <row r="15" customFormat="false" ht="15" hidden="false" customHeight="false" outlineLevel="0" collapsed="false">
      <c r="A15" s="3" t="s">
        <v>14</v>
      </c>
      <c r="B15" s="3" t="s">
        <v>15</v>
      </c>
    </row>
    <row r="16" customFormat="false" ht="15" hidden="false" customHeight="false" outlineLevel="0" collapsed="false">
      <c r="A16" s="4" t="s">
        <v>16</v>
      </c>
      <c r="B16" s="5" t="n">
        <f aca="false">ALE!D8</f>
        <v>35000000</v>
      </c>
    </row>
    <row r="17" customFormat="false" ht="15" hidden="false" customHeight="false" outlineLevel="0" collapsed="false">
      <c r="A17" s="4" t="s">
        <v>17</v>
      </c>
      <c r="B17" s="5" t="n">
        <f aca="false">Controls!C22</f>
        <v>8037500</v>
      </c>
    </row>
    <row r="18" customFormat="false" ht="15" hidden="false" customHeight="false" outlineLevel="0" collapsed="false">
      <c r="A18" s="4" t="s">
        <v>18</v>
      </c>
      <c r="B18" s="5" t="n">
        <f aca="false">B16-B17</f>
        <v>26962500</v>
      </c>
    </row>
    <row r="19" customFormat="false" ht="15" hidden="false" customHeight="false" outlineLevel="0" collapsed="false">
      <c r="A19" s="4" t="s">
        <v>19</v>
      </c>
      <c r="B19" s="8" t="n">
        <f aca="false">B18/B16</f>
        <v>0.770357142857143</v>
      </c>
    </row>
    <row r="20" customFormat="false" ht="15" hidden="false" customHeight="false" outlineLevel="0" collapsed="false">
      <c r="A20" s="4" t="s">
        <v>20</v>
      </c>
      <c r="B20" s="5" t="n">
        <f aca="false">Controls!H8</f>
        <v>805000</v>
      </c>
    </row>
    <row r="21" customFormat="false" ht="15" hidden="false" customHeight="false" outlineLevel="0" collapsed="false">
      <c r="A21" s="4" t="s">
        <v>21</v>
      </c>
      <c r="B21" s="8" t="n">
        <f aca="false">(B18-B20)/B20</f>
        <v>32.4937888198758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23</v>
      </c>
      <c r="B3" s="3" t="s">
        <v>15</v>
      </c>
      <c r="C3" s="3" t="s">
        <v>24</v>
      </c>
    </row>
    <row r="4" customFormat="false" ht="15" hidden="false" customHeight="false" outlineLevel="0" collapsed="false">
      <c r="A4" s="4" t="s">
        <v>25</v>
      </c>
      <c r="B4" s="9" t="n">
        <v>0.15</v>
      </c>
      <c r="C4" s="4" t="s">
        <v>26</v>
      </c>
    </row>
    <row r="5" customFormat="false" ht="15" hidden="false" customHeight="false" outlineLevel="0" collapsed="false">
      <c r="A5" s="4" t="s">
        <v>27</v>
      </c>
      <c r="B5" s="10" t="n">
        <v>5000000</v>
      </c>
      <c r="C5" s="4" t="s">
        <v>26</v>
      </c>
    </row>
    <row r="6" customFormat="false" ht="15" hidden="false" customHeight="false" outlineLevel="0" collapsed="false">
      <c r="A6" s="4" t="s">
        <v>28</v>
      </c>
      <c r="B6" s="9" t="n">
        <v>0.25</v>
      </c>
      <c r="C6" s="4" t="s">
        <v>26</v>
      </c>
    </row>
    <row r="7" customFormat="false" ht="15" hidden="false" customHeight="false" outlineLevel="0" collapsed="false">
      <c r="A7" s="4" t="s">
        <v>29</v>
      </c>
      <c r="B7" s="11" t="n">
        <v>500000</v>
      </c>
      <c r="C7" s="4" t="s">
        <v>26</v>
      </c>
    </row>
    <row r="8" customFormat="false" ht="15" hidden="false" customHeight="false" outlineLevel="0" collapsed="false">
      <c r="A8" s="4" t="s">
        <v>30</v>
      </c>
      <c r="B8" s="10" t="n">
        <v>250</v>
      </c>
      <c r="C8" s="4" t="s">
        <v>26</v>
      </c>
    </row>
    <row r="9" customFormat="false" ht="15" hidden="false" customHeight="false" outlineLevel="0" collapsed="false">
      <c r="A9" s="4" t="s">
        <v>31</v>
      </c>
      <c r="B9" s="9" t="n">
        <v>0.4</v>
      </c>
      <c r="C9" s="4" t="s">
        <v>26</v>
      </c>
    </row>
    <row r="10" customFormat="false" ht="15" hidden="false" customHeight="false" outlineLevel="0" collapsed="false">
      <c r="A10" s="4" t="s">
        <v>32</v>
      </c>
      <c r="B10" s="11" t="n">
        <v>5000</v>
      </c>
      <c r="C10" s="4" t="s">
        <v>26</v>
      </c>
    </row>
    <row r="11" customFormat="false" ht="15" hidden="false" customHeight="false" outlineLevel="0" collapsed="false">
      <c r="A11" s="4" t="s">
        <v>33</v>
      </c>
      <c r="B11" s="10" t="n">
        <v>1500</v>
      </c>
      <c r="C11" s="4" t="s">
        <v>26</v>
      </c>
    </row>
    <row r="13" customFormat="false" ht="15" hidden="false" customHeight="false" outlineLevel="0" collapsed="false">
      <c r="A13" s="3" t="s">
        <v>34</v>
      </c>
      <c r="B13" s="3" t="s">
        <v>35</v>
      </c>
      <c r="C13" s="3" t="s">
        <v>36</v>
      </c>
      <c r="D13" s="3" t="s">
        <v>37</v>
      </c>
    </row>
    <row r="14" customFormat="false" ht="15" hidden="false" customHeight="false" outlineLevel="0" collapsed="false">
      <c r="A14" s="4" t="s">
        <v>38</v>
      </c>
      <c r="B14" s="10" t="n">
        <v>350000</v>
      </c>
      <c r="C14" s="9" t="n">
        <v>0.9</v>
      </c>
      <c r="D14" s="10" t="n">
        <v>50000</v>
      </c>
    </row>
    <row r="15" customFormat="false" ht="15" hidden="false" customHeight="false" outlineLevel="0" collapsed="false">
      <c r="A15" s="4" t="s">
        <v>39</v>
      </c>
      <c r="B15" s="10" t="n">
        <v>150000</v>
      </c>
      <c r="C15" s="9" t="n">
        <v>0.75</v>
      </c>
      <c r="D15" s="10" t="n">
        <v>25000</v>
      </c>
    </row>
    <row r="16" customFormat="false" ht="15" hidden="false" customHeight="false" outlineLevel="0" collapsed="false">
      <c r="A16" s="4" t="s">
        <v>40</v>
      </c>
      <c r="B16" s="10" t="n">
        <v>200000</v>
      </c>
      <c r="C16" s="9" t="n">
        <v>0.95</v>
      </c>
      <c r="D16" s="10" t="n">
        <v>30000</v>
      </c>
    </row>
    <row r="18" customFormat="false" ht="15" hidden="false" customHeight="false" outlineLevel="0" collapsed="false">
      <c r="A18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</row>
    <row r="5" customFormat="false" ht="15" hidden="false" customHeight="false" outlineLevel="0" collapsed="false">
      <c r="A5" s="4" t="s">
        <v>49</v>
      </c>
      <c r="B5" s="5" t="n">
        <f aca="false">Inputs!B5</f>
        <v>5000000</v>
      </c>
      <c r="C5" s="8" t="n">
        <f aca="false">Inputs!B4</f>
        <v>0.15</v>
      </c>
      <c r="D5" s="5" t="n">
        <f aca="false">B5*C5</f>
        <v>750000</v>
      </c>
      <c r="E5" s="12" t="n">
        <f aca="false">D5/$D$8</f>
        <v>0.0214285714285714</v>
      </c>
      <c r="F5" s="4" t="str">
        <f aca="false">IF(E5&gt;0.5,"CRITICAL",IF(E5&gt;0.05,"HIGH","MEDIUM"))</f>
        <v>MEDIUM</v>
      </c>
    </row>
    <row r="6" customFormat="false" ht="15" hidden="false" customHeight="false" outlineLevel="0" collapsed="false">
      <c r="A6" s="4" t="s">
        <v>4</v>
      </c>
      <c r="B6" s="5" t="n">
        <f aca="false">Inputs!B7*Inputs!B8</f>
        <v>125000000</v>
      </c>
      <c r="C6" s="8" t="n">
        <f aca="false">Inputs!B6</f>
        <v>0.25</v>
      </c>
      <c r="D6" s="5" t="n">
        <f aca="false">B6*C6</f>
        <v>31250000</v>
      </c>
      <c r="E6" s="12" t="n">
        <f aca="false">D6/$D$8</f>
        <v>0.892857142857143</v>
      </c>
      <c r="F6" s="4" t="str">
        <f aca="false">IF(E6&gt;0.5,"CRITICAL",IF(E6&gt;0.05,"HIGH","MEDIUM"))</f>
        <v>CRITICAL</v>
      </c>
    </row>
    <row r="7" customFormat="false" ht="15" hidden="false" customHeight="false" outlineLevel="0" collapsed="false">
      <c r="A7" s="4" t="s">
        <v>5</v>
      </c>
      <c r="B7" s="5" t="n">
        <f aca="false">Inputs!B10*Inputs!B11</f>
        <v>7500000</v>
      </c>
      <c r="C7" s="8" t="n">
        <f aca="false">Inputs!B9</f>
        <v>0.4</v>
      </c>
      <c r="D7" s="5" t="n">
        <f aca="false">B7*C7</f>
        <v>3000000</v>
      </c>
      <c r="E7" s="12" t="n">
        <f aca="false">D7/$D$8</f>
        <v>0.0857142857142857</v>
      </c>
      <c r="F7" s="4" t="str">
        <f aca="false">IF(E7&gt;0.5,"CRITICAL",IF(E7&gt;0.05,"HIGH","MEDIUM"))</f>
        <v>HIGH</v>
      </c>
    </row>
    <row r="8" customFormat="false" ht="15" hidden="false" customHeight="false" outlineLevel="0" collapsed="false">
      <c r="A8" s="6" t="s">
        <v>13</v>
      </c>
      <c r="B8" s="4"/>
      <c r="C8" s="4"/>
      <c r="D8" s="7" t="n">
        <f aca="false">SUM(D5:D7)</f>
        <v>35000000</v>
      </c>
      <c r="E8" s="13" t="n">
        <f aca="false">SUM(E5:E7)</f>
        <v>1</v>
      </c>
      <c r="F8" s="4"/>
    </row>
    <row r="10" customFormat="false" ht="15" hidden="false" customHeight="false" outlineLevel="0" collapsed="false">
      <c r="A10" s="2" t="s">
        <v>50</v>
      </c>
    </row>
  </sheetData>
  <conditionalFormatting sqref="F5:F7">
    <cfRule type="expression" priority="2" aboveAverage="0" equalAverage="0" bottom="0" percent="0" rank="0" text="" dxfId="0">
      <formula>F5="CRITICAL"</formula>
    </cfRule>
    <cfRule type="expression" priority="3" aboveAverage="0" equalAverage="0" bottom="0" percent="0" rank="0" text="" dxfId="1">
      <formula>F5="HIGH"</formula>
    </cfRule>
    <cfRule type="expression" priority="4" aboveAverage="0" equalAverage="0" bottom="0" percent="0" rank="0" text="" dxfId="2">
      <formula>F5="MEDIUM"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34</v>
      </c>
      <c r="B4" s="3" t="s">
        <v>52</v>
      </c>
      <c r="C4" s="3" t="s">
        <v>53</v>
      </c>
      <c r="D4" s="3" t="s">
        <v>54</v>
      </c>
      <c r="E4" s="3" t="s">
        <v>36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59</v>
      </c>
      <c r="K4" s="3" t="s">
        <v>60</v>
      </c>
    </row>
    <row r="5" customFormat="false" ht="15" hidden="false" customHeight="false" outlineLevel="0" collapsed="false">
      <c r="A5" s="4" t="s">
        <v>61</v>
      </c>
      <c r="B5" s="4" t="s">
        <v>6</v>
      </c>
      <c r="C5" s="5" t="n">
        <f aca="false">Inputs!B14</f>
        <v>350000</v>
      </c>
      <c r="D5" s="5" t="n">
        <f aca="false">Inputs!D14</f>
        <v>50000</v>
      </c>
      <c r="E5" s="8" t="n">
        <f aca="false">Inputs!C14</f>
        <v>0.9</v>
      </c>
      <c r="F5" s="5" t="n">
        <f aca="false">ALE!D5</f>
        <v>750000</v>
      </c>
      <c r="G5" s="5" t="n">
        <f aca="false">F5*E5</f>
        <v>675000</v>
      </c>
      <c r="H5" s="5" t="n">
        <f aca="false">C5+D5</f>
        <v>400000</v>
      </c>
      <c r="I5" s="8" t="n">
        <f aca="false">(G5-H5)/H5</f>
        <v>0.6875</v>
      </c>
      <c r="J5" s="14" t="n">
        <f aca="false">C5/(G5-D5)</f>
        <v>0.56</v>
      </c>
      <c r="K5" s="15" t="n">
        <f aca="false">J5*365</f>
        <v>204.4</v>
      </c>
    </row>
    <row r="6" customFormat="false" ht="15" hidden="false" customHeight="false" outlineLevel="0" collapsed="false">
      <c r="A6" s="4" t="s">
        <v>10</v>
      </c>
      <c r="B6" s="4" t="s">
        <v>4</v>
      </c>
      <c r="C6" s="5" t="n">
        <f aca="false">Inputs!B15</f>
        <v>150000</v>
      </c>
      <c r="D6" s="5" t="n">
        <f aca="false">Inputs!D15</f>
        <v>25000</v>
      </c>
      <c r="E6" s="8" t="n">
        <f aca="false">Inputs!C15</f>
        <v>0.75</v>
      </c>
      <c r="F6" s="5" t="n">
        <f aca="false">ALE!D6</f>
        <v>31250000</v>
      </c>
      <c r="G6" s="5" t="n">
        <f aca="false">F6*E6</f>
        <v>23437500</v>
      </c>
      <c r="H6" s="5" t="n">
        <f aca="false">C6+D6</f>
        <v>175000</v>
      </c>
      <c r="I6" s="8" t="n">
        <f aca="false">(G6-H6)/H6</f>
        <v>132.928571428571</v>
      </c>
      <c r="J6" s="14" t="n">
        <f aca="false">C6/(G6-D6)</f>
        <v>0.00640683395621997</v>
      </c>
      <c r="K6" s="15" t="n">
        <f aca="false">J6*365</f>
        <v>2.33849439402029</v>
      </c>
    </row>
    <row r="7" customFormat="false" ht="15" hidden="false" customHeight="false" outlineLevel="0" collapsed="false">
      <c r="A7" s="4" t="s">
        <v>11</v>
      </c>
      <c r="B7" s="4" t="s">
        <v>5</v>
      </c>
      <c r="C7" s="5" t="n">
        <f aca="false">Inputs!B16</f>
        <v>200000</v>
      </c>
      <c r="D7" s="5" t="n">
        <f aca="false">Inputs!D16</f>
        <v>30000</v>
      </c>
      <c r="E7" s="8" t="n">
        <f aca="false">Inputs!C16</f>
        <v>0.95</v>
      </c>
      <c r="F7" s="5" t="n">
        <f aca="false">ALE!D7</f>
        <v>3000000</v>
      </c>
      <c r="G7" s="5" t="n">
        <f aca="false">F7*E7</f>
        <v>2850000</v>
      </c>
      <c r="H7" s="5" t="n">
        <f aca="false">C7+D7</f>
        <v>230000</v>
      </c>
      <c r="I7" s="8" t="n">
        <f aca="false">(G7-H7)/H7</f>
        <v>11.3913043478261</v>
      </c>
      <c r="J7" s="14" t="n">
        <f aca="false">C7/(G7-D7)</f>
        <v>0.0709219858156028</v>
      </c>
      <c r="K7" s="15" t="n">
        <f aca="false">J7*365</f>
        <v>25.886524822695</v>
      </c>
    </row>
    <row r="8" customFormat="false" ht="15" hidden="false" customHeight="false" outlineLevel="0" collapsed="false">
      <c r="A8" s="6" t="s">
        <v>62</v>
      </c>
      <c r="B8" s="4"/>
      <c r="C8" s="7" t="n">
        <f aca="false">SUM(C5:C7)</f>
        <v>700000</v>
      </c>
      <c r="D8" s="7" t="n">
        <f aca="false">SUM(D5:D7)</f>
        <v>105000</v>
      </c>
      <c r="E8" s="4"/>
      <c r="F8" s="7" t="n">
        <f aca="false">SUM(F5:F7)</f>
        <v>35000000</v>
      </c>
      <c r="G8" s="7" t="n">
        <f aca="false">SUM(G5:G7)</f>
        <v>26962500</v>
      </c>
      <c r="H8" s="7" t="n">
        <f aca="false">SUM(H5:H7)</f>
        <v>805000</v>
      </c>
      <c r="I8" s="16" t="n">
        <f aca="false">(G8-H8)/H8</f>
        <v>32.4937888198758</v>
      </c>
      <c r="J8" s="17" t="n">
        <f aca="false">C8/(G8-D8)</f>
        <v>0.0260634831983617</v>
      </c>
      <c r="K8" s="18" t="n">
        <f aca="false">J8*365</f>
        <v>9.51317136740203</v>
      </c>
    </row>
    <row r="9" customFormat="false" ht="15" hidden="false" customHeight="false" outlineLevel="0" collapsed="false">
      <c r="A9" s="2" t="s">
        <v>63</v>
      </c>
    </row>
    <row r="11" customFormat="false" ht="26.85" hidden="false" customHeight="false" outlineLevel="0" collapsed="false">
      <c r="A11" s="3" t="s">
        <v>64</v>
      </c>
      <c r="B11" s="3" t="s">
        <v>65</v>
      </c>
    </row>
    <row r="12" customFormat="false" ht="15" hidden="false" customHeight="false" outlineLevel="0" collapsed="false">
      <c r="A12" s="4" t="s">
        <v>66</v>
      </c>
      <c r="B12" s="5" t="n">
        <f aca="false">-C8</f>
        <v>-700000</v>
      </c>
    </row>
    <row r="13" customFormat="false" ht="15" hidden="false" customHeight="false" outlineLevel="0" collapsed="false">
      <c r="A13" s="4" t="s">
        <v>67</v>
      </c>
      <c r="B13" s="5" t="n">
        <f aca="false">B12+$G$8-$D$8</f>
        <v>26157500</v>
      </c>
    </row>
    <row r="14" customFormat="false" ht="15" hidden="false" customHeight="false" outlineLevel="0" collapsed="false">
      <c r="A14" s="4" t="s">
        <v>68</v>
      </c>
      <c r="B14" s="5" t="n">
        <f aca="false">B13+$G$8-$D$8</f>
        <v>53015000</v>
      </c>
    </row>
    <row r="15" customFormat="false" ht="15" hidden="false" customHeight="false" outlineLevel="0" collapsed="false">
      <c r="A15" s="4" t="s">
        <v>69</v>
      </c>
      <c r="B15" s="5" t="n">
        <f aca="false">B14+$G$8-$D$8</f>
        <v>79872500</v>
      </c>
    </row>
    <row r="18" customFormat="false" ht="15" hidden="false" customHeight="false" outlineLevel="0" collapsed="false">
      <c r="A18" s="3" t="s">
        <v>70</v>
      </c>
      <c r="B18" s="3" t="s">
        <v>71</v>
      </c>
      <c r="C18" s="3" t="s">
        <v>72</v>
      </c>
    </row>
    <row r="19" customFormat="false" ht="15" hidden="false" customHeight="false" outlineLevel="0" collapsed="false">
      <c r="A19" s="4" t="s">
        <v>6</v>
      </c>
      <c r="B19" s="5" t="n">
        <f aca="false">ALE!D5</f>
        <v>750000</v>
      </c>
      <c r="C19" s="5" t="n">
        <f aca="false">B19-G5</f>
        <v>75000</v>
      </c>
    </row>
    <row r="20" customFormat="false" ht="15" hidden="false" customHeight="false" outlineLevel="0" collapsed="false">
      <c r="A20" s="4" t="s">
        <v>4</v>
      </c>
      <c r="B20" s="5" t="n">
        <f aca="false">ALE!D6</f>
        <v>31250000</v>
      </c>
      <c r="C20" s="5" t="n">
        <f aca="false">B20-G6</f>
        <v>7812500</v>
      </c>
    </row>
    <row r="21" customFormat="false" ht="15" hidden="false" customHeight="false" outlineLevel="0" collapsed="false">
      <c r="A21" s="4" t="s">
        <v>5</v>
      </c>
      <c r="B21" s="5" t="n">
        <f aca="false">ALE!D7</f>
        <v>3000000</v>
      </c>
      <c r="C21" s="5" t="n">
        <f aca="false">B21-G7</f>
        <v>150000</v>
      </c>
    </row>
    <row r="22" customFormat="false" ht="15" hidden="false" customHeight="false" outlineLevel="0" collapsed="false">
      <c r="A22" s="6" t="s">
        <v>13</v>
      </c>
      <c r="B22" s="7" t="n">
        <f aca="false">SUM(B19:B21)</f>
        <v>35000000</v>
      </c>
      <c r="C22" s="7" t="n">
        <f aca="false">SUM(C19:C21)</f>
        <v>8037500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74</v>
      </c>
      <c r="B4" s="3" t="s">
        <v>75</v>
      </c>
      <c r="C4" s="3" t="s">
        <v>56</v>
      </c>
      <c r="D4" s="3" t="s">
        <v>76</v>
      </c>
    </row>
    <row r="5" customFormat="false" ht="15" hidden="false" customHeight="false" outlineLevel="0" collapsed="false">
      <c r="A5" s="4" t="s">
        <v>77</v>
      </c>
      <c r="B5" s="4" t="s">
        <v>78</v>
      </c>
      <c r="C5" s="5" t="n">
        <f aca="false">Controls!G6</f>
        <v>23437500</v>
      </c>
      <c r="D5" s="5" t="n">
        <f aca="false">Controls!C6</f>
        <v>150000</v>
      </c>
    </row>
    <row r="6" customFormat="false" ht="15" hidden="false" customHeight="false" outlineLevel="0" collapsed="false">
      <c r="A6" s="4" t="s">
        <v>79</v>
      </c>
      <c r="B6" s="4" t="s">
        <v>80</v>
      </c>
      <c r="C6" s="5" t="n">
        <f aca="false">Controls!G6+Controls!G7</f>
        <v>26287500</v>
      </c>
      <c r="D6" s="5" t="n">
        <f aca="false">Controls!C6+Controls!C7</f>
        <v>350000</v>
      </c>
    </row>
    <row r="7" customFormat="false" ht="15" hidden="false" customHeight="false" outlineLevel="0" collapsed="false">
      <c r="A7" s="4" t="s">
        <v>81</v>
      </c>
      <c r="B7" s="4" t="s">
        <v>82</v>
      </c>
      <c r="C7" s="5" t="n">
        <f aca="false">Controls!G8</f>
        <v>26962500</v>
      </c>
      <c r="D7" s="5" t="n">
        <f aca="false">Controls!C8</f>
        <v>700000</v>
      </c>
    </row>
    <row r="10" customFormat="false" ht="15" hidden="false" customHeight="false" outlineLevel="0" collapsed="false">
      <c r="A10" s="3" t="s">
        <v>83</v>
      </c>
      <c r="B10" s="3" t="s">
        <v>15</v>
      </c>
    </row>
    <row r="11" customFormat="false" ht="15" hidden="false" customHeight="false" outlineLevel="0" collapsed="false">
      <c r="A11" s="4" t="s">
        <v>84</v>
      </c>
      <c r="B11" s="5" t="n">
        <f aca="false">ALE!D8</f>
        <v>35000000</v>
      </c>
    </row>
    <row r="12" customFormat="false" ht="15" hidden="false" customHeight="false" outlineLevel="0" collapsed="false">
      <c r="A12" s="4" t="s">
        <v>85</v>
      </c>
      <c r="B12" s="5" t="n">
        <f aca="false">Controls!C22</f>
        <v>8037500</v>
      </c>
    </row>
    <row r="13" customFormat="false" ht="15" hidden="false" customHeight="false" outlineLevel="0" collapsed="false">
      <c r="A13" s="4" t="s">
        <v>19</v>
      </c>
      <c r="B13" s="8" t="n">
        <f aca="false">1-B12/B11</f>
        <v>0.770357142857143</v>
      </c>
    </row>
    <row r="15" customFormat="false" ht="15" hidden="false" customHeight="false" outlineLevel="0" collapsed="false">
      <c r="A15" s="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/>
      <c r="B4" s="3" t="s">
        <v>88</v>
      </c>
      <c r="C4" s="3" t="s">
        <v>89</v>
      </c>
      <c r="D4" s="3" t="s">
        <v>90</v>
      </c>
    </row>
    <row r="5" customFormat="false" ht="49.5" hidden="false" customHeight="true" outlineLevel="0" collapsed="false">
      <c r="A5" s="19" t="s">
        <v>91</v>
      </c>
      <c r="B5" s="20"/>
      <c r="C5" s="21" t="s">
        <v>92</v>
      </c>
      <c r="D5" s="22"/>
    </row>
    <row r="6" customFormat="false" ht="49.5" hidden="false" customHeight="true" outlineLevel="0" collapsed="false">
      <c r="A6" s="19" t="s">
        <v>93</v>
      </c>
      <c r="B6" s="23"/>
      <c r="C6" s="20"/>
      <c r="D6" s="22" t="s">
        <v>94</v>
      </c>
    </row>
    <row r="7" customFormat="false" ht="49.5" hidden="false" customHeight="true" outlineLevel="0" collapsed="false">
      <c r="A7" s="19" t="s">
        <v>95</v>
      </c>
      <c r="B7" s="23"/>
      <c r="C7" s="20" t="s">
        <v>96</v>
      </c>
      <c r="D7" s="21"/>
    </row>
    <row r="9" customFormat="false" ht="15" hidden="false" customHeight="false" outlineLevel="0" collapsed="false">
      <c r="A9" s="24" t="s">
        <v>97</v>
      </c>
    </row>
    <row r="10" customFormat="false" ht="15" hidden="false" customHeight="false" outlineLevel="0" collapsed="false">
      <c r="A10" s="25" t="s">
        <v>98</v>
      </c>
    </row>
    <row r="11" customFormat="false" ht="15" hidden="false" customHeight="false" outlineLevel="0" collapsed="false">
      <c r="A11" s="26" t="s">
        <v>99</v>
      </c>
    </row>
    <row r="12" customFormat="false" ht="15" hidden="false" customHeight="false" outlineLevel="0" collapsed="false">
      <c r="A12" s="27" t="s">
        <v>100</v>
      </c>
    </row>
    <row r="13" customFormat="false" ht="15" hidden="false" customHeight="false" outlineLevel="0" collapsed="false">
      <c r="A13" s="28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16" min="5" style="0" width="5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103</v>
      </c>
      <c r="B4" s="3" t="s">
        <v>104</v>
      </c>
      <c r="C4" s="3" t="s">
        <v>105</v>
      </c>
      <c r="D4" s="3" t="s">
        <v>106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111</v>
      </c>
      <c r="J4" s="3" t="s">
        <v>112</v>
      </c>
      <c r="K4" s="3" t="s">
        <v>113</v>
      </c>
      <c r="L4" s="3" t="s">
        <v>114</v>
      </c>
      <c r="M4" s="3" t="s">
        <v>115</v>
      </c>
      <c r="N4" s="3" t="s">
        <v>116</v>
      </c>
      <c r="O4" s="3" t="s">
        <v>117</v>
      </c>
      <c r="P4" s="3" t="s">
        <v>118</v>
      </c>
    </row>
    <row r="5" customFormat="false" ht="15" hidden="false" customHeight="false" outlineLevel="0" collapsed="false">
      <c r="A5" s="4" t="s">
        <v>119</v>
      </c>
      <c r="B5" s="4" t="s">
        <v>120</v>
      </c>
      <c r="C5" s="11" t="n">
        <v>1</v>
      </c>
      <c r="D5" s="11" t="n">
        <v>2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customFormat="false" ht="15" hidden="false" customHeight="false" outlineLevel="0" collapsed="false">
      <c r="A6" s="4" t="s">
        <v>121</v>
      </c>
      <c r="B6" s="4" t="s">
        <v>120</v>
      </c>
      <c r="C6" s="11" t="n">
        <v>1</v>
      </c>
      <c r="D6" s="11" t="n">
        <v>2</v>
      </c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customFormat="false" ht="15" hidden="false" customHeight="false" outlineLevel="0" collapsed="false">
      <c r="A7" s="4" t="s">
        <v>122</v>
      </c>
      <c r="B7" s="4" t="s">
        <v>123</v>
      </c>
      <c r="C7" s="11" t="n">
        <v>2</v>
      </c>
      <c r="D7" s="11" t="n">
        <v>3</v>
      </c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customFormat="false" ht="15" hidden="false" customHeight="false" outlineLevel="0" collapsed="false">
      <c r="A8" s="4" t="s">
        <v>124</v>
      </c>
      <c r="B8" s="4" t="s">
        <v>125</v>
      </c>
      <c r="C8" s="11" t="n">
        <v>3</v>
      </c>
      <c r="D8" s="11" t="n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customFormat="false" ht="15" hidden="false" customHeight="false" outlineLevel="0" collapsed="false">
      <c r="A9" s="4" t="s">
        <v>126</v>
      </c>
      <c r="B9" s="4" t="s">
        <v>125</v>
      </c>
      <c r="C9" s="11" t="n">
        <v>10</v>
      </c>
      <c r="D9" s="11" t="n">
        <v>1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customFormat="false" ht="15" hidden="false" customHeight="false" outlineLevel="0" collapsed="false">
      <c r="A10" s="4" t="s">
        <v>127</v>
      </c>
      <c r="B10" s="4" t="s">
        <v>125</v>
      </c>
      <c r="C10" s="11" t="n">
        <v>10</v>
      </c>
      <c r="D10" s="11" t="n">
        <v>3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</sheetData>
  <conditionalFormatting sqref="E5:P10">
    <cfRule type="expression" priority="2" aboveAverage="0" equalAverage="0" bottom="0" percent="0" rank="0" text="" dxfId="3">
      <formula>AND(COLUMN()-4&gt;=$C5,COLUMN()-4&lt;$C5+$D5)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10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2026-10-30T06:52:41Z</dcterms:created>
  <dc:creator>openpyxl</dc:creator>
  <dc:description/>
  <dc:language>en-US</dc:language>
  <cp:lastModifiedBy/>
  <dcterms:modified xsi:type="dcterms:W3CDTF">2026-10-30T07:52:42Z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